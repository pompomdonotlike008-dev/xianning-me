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输入与对比" sheetId="1" state="visible" r:id="rId1"/>
    <sheet xmlns:r="http://schemas.openxmlformats.org/officeDocument/2006/relationships" name="详细计算过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&quot;h&quot;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86868B"/>
      <sz val="9"/>
    </font>
    <font>
      <name val="Arial"/>
      <b val="1"/>
      <color rgb="001A1A1A"/>
      <sz val="12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1A1A1A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8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C759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2" customWidth="1" min="5" max="5"/>
    <col width="36" customWidth="1" min="6" max="6"/>
  </cols>
  <sheetData>
    <row r="1" ht="36" customHeight="1">
      <c r="A1" s="1" t="inlineStr">
        <is>
          <t>三省份容量补偿对照表</t>
        </is>
      </c>
    </row>
    <row r="2" ht="22" customHeight="1">
      <c r="A2" s="2" t="inlineStr">
        <is>
          <t>基于114号文容量电价公式：年补偿收入 = 煤电容量电价 × (放电时长 ÷ 高峰时长) × 装机容量</t>
        </is>
      </c>
    </row>
    <row r="4">
      <c r="A4" s="3" t="inlineStr">
        <is>
          <t>[参数输入] 可修改</t>
        </is>
      </c>
    </row>
    <row r="6">
      <c r="A6" s="4" t="inlineStr">
        <is>
          <t>参数</t>
        </is>
      </c>
      <c r="B6" s="4" t="inlineStr">
        <is>
          <t>单位</t>
        </is>
      </c>
      <c r="C6" s="4" t="inlineStr">
        <is>
          <t>陕西</t>
        </is>
      </c>
      <c r="D6" s="4" t="inlineStr">
        <is>
          <t>甘肃</t>
        </is>
      </c>
      <c r="E6" s="4" t="inlineStr">
        <is>
          <t>浙江</t>
        </is>
      </c>
      <c r="F6" s="4" t="inlineStr">
        <is>
          <t>说明</t>
        </is>
      </c>
      <c r="G6" t="inlineStr"/>
    </row>
    <row r="7">
      <c r="A7" s="5" t="inlineStr">
        <is>
          <t>煤电容量电价标准</t>
        </is>
      </c>
      <c r="B7" s="5" t="inlineStr">
        <is>
          <t>元/kW·年</t>
        </is>
      </c>
      <c r="C7" s="5" t="n">
        <v>165</v>
      </c>
      <c r="D7" s="5" t="n">
        <v>330</v>
      </c>
      <c r="E7" s="5" t="n">
        <v>200</v>
      </c>
      <c r="F7" s="5" t="inlineStr">
        <is>
          <t>各省发改委文件</t>
        </is>
      </c>
    </row>
    <row r="8">
      <c r="A8" s="5" t="inlineStr">
        <is>
          <t>净负荷高峰持续时长</t>
        </is>
      </c>
      <c r="B8" s="5" t="inlineStr">
        <is>
          <t>小时</t>
        </is>
      </c>
      <c r="C8" s="5" t="n">
        <v>6</v>
      </c>
      <c r="D8" s="5" t="n">
        <v>6</v>
      </c>
      <c r="E8" s="5" t="n">
        <v>6</v>
      </c>
      <c r="F8" s="5" t="inlineStr">
        <is>
          <t>陕西已定6h，甘浙暂按6h</t>
        </is>
      </c>
    </row>
    <row r="9">
      <c r="A9" s="5" t="inlineStr">
        <is>
          <t>装机容量</t>
        </is>
      </c>
      <c r="B9" s="5" t="inlineStr">
        <is>
          <t>MW</t>
        </is>
      </c>
      <c r="C9" s="5" t="n">
        <v>100</v>
      </c>
      <c r="D9" s="5" t="n">
        <v>100</v>
      </c>
      <c r="E9" s="5" t="n">
        <v>100</v>
      </c>
      <c r="F9" s="5" t="inlineStr">
        <is>
          <t>统一假设</t>
        </is>
      </c>
    </row>
    <row r="10">
      <c r="A10" s="5" t="inlineStr">
        <is>
          <t>储能放电时长</t>
        </is>
      </c>
      <c r="B10" s="5" t="inlineStr">
        <is>
          <t>小时</t>
        </is>
      </c>
      <c r="C10" s="5" t="n">
        <v>4</v>
      </c>
      <c r="D10" s="5" t="n">
        <v>4</v>
      </c>
      <c r="E10" s="5" t="n">
        <v>4</v>
      </c>
      <c r="F10" s="5" t="inlineStr">
        <is>
          <t>可按实际修改</t>
        </is>
      </c>
    </row>
    <row r="12">
      <c r="A12" s="3" t="inlineStr">
        <is>
          <t>[计算结果] 修改输入参数后自动更新</t>
        </is>
      </c>
    </row>
    <row r="14">
      <c r="A14" s="4" t="inlineStr">
        <is>
          <t>指标</t>
        </is>
      </c>
      <c r="B14" s="4" t="inlineStr">
        <is>
          <t>单位</t>
        </is>
      </c>
      <c r="C14" s="4" t="inlineStr">
        <is>
          <t>陕西</t>
        </is>
      </c>
      <c r="D14" s="4" t="inlineStr">
        <is>
          <t>甘肃</t>
        </is>
      </c>
      <c r="E14" s="4" t="inlineStr">
        <is>
          <t>浙江</t>
        </is>
      </c>
      <c r="F14" s="4" t="inlineStr">
        <is>
          <t>公式</t>
        </is>
      </c>
    </row>
    <row r="15">
      <c r="A15" s="6" t="inlineStr">
        <is>
          <t>折算比例</t>
        </is>
      </c>
      <c r="B15" s="6" t="inlineStr">
        <is>
          <t>%</t>
        </is>
      </c>
      <c r="C15" s="7">
        <f>MIN(C9/C8,1)</f>
        <v/>
      </c>
      <c r="D15" s="7">
        <f>MIN(D9/D8,1)</f>
        <v/>
      </c>
      <c r="E15" s="7">
        <f>MIN(E9/E8,1)</f>
        <v/>
      </c>
      <c r="F15" s="6">
        <f>MIN(储能时长/高峰时长,1)</f>
        <v/>
      </c>
    </row>
    <row r="16">
      <c r="A16" s="6" t="inlineStr">
        <is>
          <t>年补偿标准</t>
        </is>
      </c>
      <c r="B16" s="6" t="inlineStr">
        <is>
          <t>元/kW·年</t>
        </is>
      </c>
      <c r="C16" s="8">
        <f>C7*C15</f>
        <v/>
      </c>
      <c r="D16" s="8">
        <f>D7*D15</f>
        <v/>
      </c>
      <c r="E16" s="8">
        <f>E7*E15</f>
        <v/>
      </c>
      <c r="F16" s="6">
        <f>煤电容量电价×折算比例</f>
        <v/>
      </c>
    </row>
    <row r="17">
      <c r="A17" s="9" t="inlineStr">
        <is>
          <t>年补偿收入</t>
        </is>
      </c>
      <c r="B17" s="9" t="inlineStr">
        <is>
          <t>万元</t>
        </is>
      </c>
      <c r="C17" s="10">
        <f>C16*C9*1000/10000</f>
        <v/>
      </c>
      <c r="D17" s="10">
        <f>D16*D9*1000/10000</f>
        <v/>
      </c>
      <c r="E17" s="10">
        <f>E16*E9*1000/10000</f>
        <v/>
      </c>
      <c r="F17" s="9">
        <f>补偿标准×装机MW×1000÷10000</f>
        <v/>
      </c>
    </row>
    <row r="18">
      <c r="A18" s="6" t="inlineStr">
        <is>
          <t>20年累计收入</t>
        </is>
      </c>
      <c r="B18" s="6" t="inlineStr">
        <is>
          <t>万元</t>
        </is>
      </c>
      <c r="C18" s="8">
        <f>C17*20</f>
        <v/>
      </c>
      <c r="D18" s="8">
        <f>D17*20</f>
        <v/>
      </c>
      <c r="E18" s="8">
        <f>E17*20</f>
        <v/>
      </c>
      <c r="F18" s="6">
        <f>年收入×20年</f>
        <v/>
      </c>
    </row>
    <row r="19">
      <c r="A19" s="6" t="inlineStr">
        <is>
          <t>相比陕西差额</t>
        </is>
      </c>
      <c r="B19" s="6" t="inlineStr">
        <is>
          <t>万元/年</t>
        </is>
      </c>
      <c r="C19" s="8" t="n">
        <v>0</v>
      </c>
      <c r="D19" s="8">
        <f>D17-C17</f>
        <v/>
      </c>
      <c r="E19" s="8">
        <f>E17-C17</f>
        <v/>
      </c>
      <c r="F19" s="6">
        <f>本省收入-陕西收入</f>
        <v/>
      </c>
    </row>
    <row r="21">
      <c r="A21" s="11" t="inlineStr">
        <is>
          <t>[敏感性分析] 不同储能时长下的年补偿收入（万元）</t>
        </is>
      </c>
    </row>
    <row r="23">
      <c r="A23" s="4" t="inlineStr">
        <is>
          <t>储能时长</t>
        </is>
      </c>
      <c r="B23" s="4" t="inlineStr">
        <is>
          <t>陕西</t>
        </is>
      </c>
      <c r="C23" s="4" t="inlineStr">
        <is>
          <t>甘肃</t>
        </is>
      </c>
      <c r="D23" s="4" t="inlineStr">
        <is>
          <t>浙江</t>
        </is>
      </c>
      <c r="E23" t="inlineStr"/>
    </row>
    <row r="24">
      <c r="A24" s="12" t="n">
        <v>2</v>
      </c>
      <c r="B24" s="13">
        <f>MIN(C8/C8,1)*C7*1000/10000</f>
        <v/>
      </c>
      <c r="C24" s="13">
        <f>MIN(D8/D8,1)*D7*1000/10000</f>
        <v/>
      </c>
      <c r="D24" s="13">
        <f>MIN(E8/E8,1)*E7*1000/10000</f>
        <v/>
      </c>
    </row>
    <row r="25">
      <c r="A25" s="14" t="n">
        <v>4</v>
      </c>
      <c r="B25" s="15">
        <f>MIN(C9/C8,1)*C7*1000/10000</f>
        <v/>
      </c>
      <c r="C25" s="15">
        <f>MIN(D9/D8,1)*D7*1000/10000</f>
        <v/>
      </c>
      <c r="D25" s="15">
        <f>MIN(E9/E8,1)*E7*1000/10000</f>
        <v/>
      </c>
    </row>
    <row r="26">
      <c r="A26" s="12" t="n">
        <v>6</v>
      </c>
      <c r="B26" s="13">
        <f>MIN(C10/C8,1)*C7*1000/10000</f>
        <v/>
      </c>
      <c r="C26" s="13">
        <f>MIN(D10/D8,1)*D7*1000/10000</f>
        <v/>
      </c>
      <c r="D26" s="13">
        <f>MIN(E10/E8,1)*E7*1000/10000</f>
        <v/>
      </c>
    </row>
    <row r="27">
      <c r="A27" s="14" t="n">
        <v>8</v>
      </c>
      <c r="B27" s="15">
        <f>MIN(C11/C8,1)*C7*1000/10000</f>
        <v/>
      </c>
      <c r="C27" s="15">
        <f>MIN(D11/D8,1)*D7*1000/10000</f>
        <v/>
      </c>
      <c r="D27" s="15">
        <f>MIN(E11/E8,1)*E7*1000/10000</f>
        <v/>
      </c>
    </row>
    <row r="29">
      <c r="A29" s="16" t="inlineStr">
        <is>
          <t>黄色单元格为可修改的输入参数，修改后所有计算结果自动更新。</t>
        </is>
      </c>
    </row>
  </sheetData>
  <mergeCells count="6">
    <mergeCell ref="A1:G1"/>
    <mergeCell ref="A21:G21"/>
    <mergeCell ref="A12:G12"/>
    <mergeCell ref="A4:G4"/>
    <mergeCell ref="A2:G2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AFF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2" customWidth="1" min="4" max="4"/>
    <col width="14" customWidth="1" min="5" max="5"/>
    <col width="22" customWidth="1" min="6" max="6"/>
    <col width="14" customWidth="1" min="7" max="7"/>
  </cols>
  <sheetData>
    <row r="1" ht="32" customHeight="1">
      <c r="A1" s="17" t="inlineStr">
        <is>
          <t>详细计算过程</t>
        </is>
      </c>
    </row>
    <row r="3">
      <c r="A3" s="4" t="inlineStr">
        <is>
          <t>计算项</t>
        </is>
      </c>
      <c r="B3" s="4" t="inlineStr">
        <is>
          <t>陕西公式</t>
        </is>
      </c>
      <c r="C3" s="4" t="inlineStr">
        <is>
          <t>陕西结果</t>
        </is>
      </c>
      <c r="D3" s="4" t="inlineStr">
        <is>
          <t>甘肃公式</t>
        </is>
      </c>
      <c r="E3" s="4" t="inlineStr">
        <is>
          <t>甘肃结果</t>
        </is>
      </c>
      <c r="F3" s="4" t="inlineStr">
        <is>
          <t>浙江公式</t>
        </is>
      </c>
      <c r="G3" s="4" t="inlineStr">
        <is>
          <t>浙江结果</t>
        </is>
      </c>
    </row>
    <row r="5">
      <c r="A5" s="18" t="inlineStr">
        <is>
          <t>(1) 折算比例</t>
        </is>
      </c>
      <c r="B5" s="18">
        <f>MIN(4/6,1)</f>
        <v/>
      </c>
      <c r="C5" s="18">
        <f>MIN(4/6,1)</f>
        <v/>
      </c>
      <c r="D5" s="18">
        <f>MIN(4/6,1)</f>
        <v/>
      </c>
      <c r="E5" s="18" t="inlineStr">
        <is>
          <t>储能定价核心参数</t>
        </is>
      </c>
      <c r="F5" s="18" t="n"/>
      <c r="G5" s="18" t="n"/>
    </row>
    <row r="6">
      <c r="A6" s="18" t="inlineStr">
        <is>
          <t>(2) 补偿标准</t>
        </is>
      </c>
      <c r="B6" s="18">
        <f>165×折算比例</f>
        <v/>
      </c>
      <c r="C6" s="18">
        <f>330×折算比例</f>
        <v/>
      </c>
      <c r="D6" s="18">
        <f>200×折算比例</f>
        <v/>
      </c>
      <c r="E6" s="18" t="inlineStr">
        <is>
          <t>按比例折算</t>
        </is>
      </c>
      <c r="F6" s="18" t="n"/>
      <c r="G6" s="18" t="n"/>
    </row>
    <row r="7">
      <c r="A7" s="18" t="inlineStr">
        <is>
          <t>(3) 年补偿收入</t>
        </is>
      </c>
      <c r="B7" s="18">
        <f>标准×100MW</f>
        <v/>
      </c>
      <c r="C7" s="18">
        <f>标准×100MW</f>
        <v/>
      </c>
      <c r="D7" s="18">
        <f>标准×100MW</f>
        <v/>
      </c>
      <c r="E7" s="18" t="inlineStr">
        <is>
          <t>直接按装机计算</t>
        </is>
      </c>
      <c r="F7" s="18" t="n"/>
      <c r="G7" s="18" t="n"/>
    </row>
    <row r="8">
      <c r="A8" s="18" t="inlineStr">
        <is>
          <t>(4) 月补偿收入</t>
        </is>
      </c>
      <c r="B8" s="18">
        <f>年收入÷12</f>
        <v/>
      </c>
      <c r="C8" s="18">
        <f>年收入÷12</f>
        <v/>
      </c>
      <c r="D8" s="18">
        <f>年收入÷12</f>
        <v/>
      </c>
      <c r="E8" s="18" t="inlineStr">
        <is>
          <t>按月结算现金流</t>
        </is>
      </c>
      <c r="F8" s="18" t="n"/>
      <c r="G8" s="1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2026-07-18T02:58:12Z</dcterms:created>
  <dcterms:modified xmlns:dcterms="http://purl.org/dc/terms/" xmlns:xsi="http://www.w3.org/2001/XMLSchema-instance" xsi:type="dcterms:W3CDTF">2026-07-18T02:58:12Z</dcterms:modified>
</cp:coreProperties>
</file>